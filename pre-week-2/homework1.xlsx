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ohamedmouatakid\Documents\DataAnalytics\pre-week-2\"/>
    </mc:Choice>
  </mc:AlternateContent>
  <xr:revisionPtr revIDLastSave="0" documentId="8_{EB1FE88C-4334-423E-975B-B2D412650E94}" xr6:coauthVersionLast="47" xr6:coauthVersionMax="47" xr10:uidLastSave="{00000000-0000-0000-0000-000000000000}"/>
  <bookViews>
    <workbookView xWindow="-108" yWindow="-108" windowWidth="23256" windowHeight="13896" xr2:uid="{06BF0F57-8934-E24A-A5AB-CADDA9AD9827}"/>
  </bookViews>
  <sheets>
    <sheet name="Store_Data" sheetId="1" r:id="rId1"/>
    <sheet name="S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D6" i="1"/>
  <c r="D5" i="1"/>
  <c r="D4" i="1"/>
  <c r="D3" i="1"/>
  <c r="D2" i="1"/>
</calcChain>
</file>

<file path=xl/sharedStrings.xml><?xml version="1.0" encoding="utf-8"?>
<sst xmlns="http://schemas.openxmlformats.org/spreadsheetml/2006/main" count="20" uniqueCount="20">
  <si>
    <t xml:space="preserve">Store </t>
  </si>
  <si>
    <t>Store A</t>
  </si>
  <si>
    <t>Store B</t>
  </si>
  <si>
    <t>Store C</t>
  </si>
  <si>
    <t>Store D</t>
  </si>
  <si>
    <t>Store E</t>
  </si>
  <si>
    <t>Store F</t>
  </si>
  <si>
    <t>Store G</t>
  </si>
  <si>
    <t>Store H</t>
  </si>
  <si>
    <t>Store I</t>
  </si>
  <si>
    <t>Store J</t>
  </si>
  <si>
    <t>Store K</t>
  </si>
  <si>
    <t>Store L</t>
  </si>
  <si>
    <t>Monthlky Sales</t>
  </si>
  <si>
    <t xml:space="preserve">Mean </t>
  </si>
  <si>
    <t>Median</t>
  </si>
  <si>
    <t>Mode</t>
  </si>
  <si>
    <t>Range</t>
  </si>
  <si>
    <t>Standard deviation</t>
  </si>
  <si>
    <t>The average monthly sales across all stores is approximately 49.4, indicating a moderate and relatively stable level of performance overall. Most stores have sales values close to the mean, suggesting that performance is generally consistent across locations. The standard deviation is relatively low when excluding extreme values, which shows that most stores are tightly grouped around the average. However, one store (Store H) has significantly higher sales at 72, which increases the overall variability. This indicates that Store H is an outlier and has a strong influence on the overall results. Without this store, the data shows much more consistency among the remaining locations. Additional information such as store size, location, customer traffic, and promotional strategies would help better explain why Store H performs differently.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</si>
</sst>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ED573-40BE-E44D-98CF-9B95D78806F1}">
  <dimension ref="A1:D13"/>
  <sheetViews>
    <sheetView tabSelected="1" zoomScale="150" workbookViewId="0">
      <selection activeCell="B62" sqref="B62"/>
    </sheetView>
  </sheetViews>
  <sheetFormatPr defaultColWidth="11.19921875" defaultRowHeight="15.6" x14ac:dyDescent="0.3"/>
  <cols>
    <col min="2" max="2" width="19.69921875" customWidth="1"/>
  </cols>
  <sheetData>
    <row r="1" spans="1:4" x14ac:dyDescent="0.3">
      <c r="A1" s="2" t="s">
        <v>0</v>
      </c>
      <c r="B1" t="s">
        <v>13</v>
      </c>
    </row>
    <row r="2" spans="1:4" x14ac:dyDescent="0.3">
      <c r="A2" t="s">
        <v>1</v>
      </c>
      <c r="B2">
        <v>51</v>
      </c>
      <c r="C2" t="s">
        <v>14</v>
      </c>
      <c r="D2">
        <f>AVERAGE(B2:B13)</f>
        <v>49.416666666666664</v>
      </c>
    </row>
    <row r="3" spans="1:4" x14ac:dyDescent="0.3">
      <c r="A3" t="s">
        <v>2</v>
      </c>
      <c r="B3">
        <v>44</v>
      </c>
      <c r="C3" t="s">
        <v>15</v>
      </c>
      <c r="D3">
        <f>MEDIAN(B2:B13)</f>
        <v>47.5</v>
      </c>
    </row>
    <row r="4" spans="1:4" x14ac:dyDescent="0.3">
      <c r="A4" s="1" t="s">
        <v>3</v>
      </c>
      <c r="B4">
        <v>49</v>
      </c>
      <c r="C4" t="s">
        <v>16</v>
      </c>
      <c r="D4">
        <f>_xlfn.MODE.SNGL(B2:B13)</f>
        <v>46</v>
      </c>
    </row>
    <row r="5" spans="1:4" x14ac:dyDescent="0.3">
      <c r="A5" t="s">
        <v>4</v>
      </c>
      <c r="B5">
        <v>46</v>
      </c>
      <c r="C5" t="s">
        <v>17</v>
      </c>
      <c r="D5">
        <f>MAX(B2:B13)-MIN(B2:B13)</f>
        <v>29</v>
      </c>
    </row>
    <row r="6" spans="1:4" x14ac:dyDescent="0.3">
      <c r="A6" t="s">
        <v>5</v>
      </c>
      <c r="B6">
        <v>52</v>
      </c>
      <c r="C6" t="s">
        <v>18</v>
      </c>
      <c r="D6">
        <f>_xlfn.STDEV.S(B2:B13)</f>
        <v>7.6331613054586773</v>
      </c>
    </row>
    <row r="7" spans="1:4" x14ac:dyDescent="0.3">
      <c r="A7" t="s">
        <v>6</v>
      </c>
      <c r="B7">
        <v>47</v>
      </c>
      <c r="D7">
        <f>_xlfn.STDEV.S(B2:B8, B10:B13)</f>
        <v>2.9076701075853588</v>
      </c>
    </row>
    <row r="8" spans="1:4" x14ac:dyDescent="0.3">
      <c r="A8" t="s">
        <v>7</v>
      </c>
      <c r="B8">
        <v>45</v>
      </c>
    </row>
    <row r="9" spans="1:4" x14ac:dyDescent="0.3">
      <c r="A9" t="s">
        <v>8</v>
      </c>
      <c r="B9">
        <v>72</v>
      </c>
    </row>
    <row r="10" spans="1:4" x14ac:dyDescent="0.3">
      <c r="A10" t="s">
        <v>9</v>
      </c>
      <c r="B10">
        <v>43</v>
      </c>
    </row>
    <row r="11" spans="1:4" x14ac:dyDescent="0.3">
      <c r="A11" t="s">
        <v>10</v>
      </c>
      <c r="B11">
        <v>48</v>
      </c>
    </row>
    <row r="12" spans="1:4" x14ac:dyDescent="0.3">
      <c r="A12" t="s">
        <v>11</v>
      </c>
      <c r="B12">
        <v>46</v>
      </c>
    </row>
    <row r="13" spans="1:4" x14ac:dyDescent="0.3">
      <c r="A13" t="s">
        <v>12</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A2E7-01F7-C94C-BA63-40720CBE9EE8}">
  <dimension ref="A1"/>
  <sheetViews>
    <sheetView workbookViewId="0"/>
  </sheetViews>
  <sheetFormatPr defaultColWidth="11.19921875" defaultRowHeight="15.6" x14ac:dyDescent="0.3"/>
  <cols>
    <col min="1" max="1" width="72.796875" customWidth="1"/>
  </cols>
  <sheetData>
    <row r="1" spans="1:1" ht="156" x14ac:dyDescent="0.3">
      <c r="A1"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mouatakid</dc:creator>
  <cp:lastModifiedBy>mohamed mouatakid</cp:lastModifiedBy>
  <dcterms:created xsi:type="dcterms:W3CDTF">2026-03-29T04:07:58Z</dcterms:created>
  <dcterms:modified xsi:type="dcterms:W3CDTF">2026-03-29T04:25:40Z</dcterms:modified>
</cp:coreProperties>
</file>