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ohamedmouatakid\Desktop\week\"/>
    </mc:Choice>
  </mc:AlternateContent>
  <xr:revisionPtr revIDLastSave="0" documentId="13_ncr:1_{FCF45CC0-906C-4CE5-A448-8BA0E6B9987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2" sheetId="2" r:id="rId1"/>
    <sheet name="Sheet3" sheetId="3" r:id="rId2"/>
    <sheet name="Sheet1" sheetId="1" r:id="rId3"/>
  </sheets>
  <calcPr calcId="191029"/>
  <pivotCaches>
    <pivotCache cacheId="3" r:id="rId4"/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D12" i="1"/>
  <c r="D2" i="1"/>
  <c r="D3" i="1"/>
  <c r="D4" i="1"/>
  <c r="D5" i="1"/>
  <c r="D6" i="1"/>
  <c r="D7" i="1"/>
  <c r="D8" i="1"/>
  <c r="D9" i="1"/>
  <c r="D10" i="1"/>
  <c r="D11" i="1"/>
  <c r="L16" i="1"/>
  <c r="L12" i="1"/>
  <c r="L15" i="1"/>
</calcChain>
</file>

<file path=xl/sharedStrings.xml><?xml version="1.0" encoding="utf-8"?>
<sst xmlns="http://schemas.openxmlformats.org/spreadsheetml/2006/main" count="88" uniqueCount="50">
  <si>
    <t>ID</t>
  </si>
  <si>
    <t>Start time</t>
  </si>
  <si>
    <t>Completion time</t>
  </si>
  <si>
    <t>Email</t>
  </si>
  <si>
    <t>Name</t>
  </si>
  <si>
    <t>Last modified time</t>
  </si>
  <si>
    <t>How often do you visit Café Clock?</t>
  </si>
  <si>
    <t xml:space="preserve">What is your main reason for visiting Café Clock?
</t>
  </si>
  <si>
    <t xml:space="preserve">How would you rate your most recent experience?
</t>
  </si>
  <si>
    <t xml:space="preserve">What do you enjoy most about Café Clock?
</t>
  </si>
  <si>
    <t xml:space="preserve">Would you join a free Café Clock rewards program?
</t>
  </si>
  <si>
    <t xml:space="preserve">What kind of rewards would motivate you to visit more often?
</t>
  </si>
  <si>
    <t xml:space="preserve">What is one thing we could improve or add to make your experience even better?
</t>
  </si>
  <si>
    <t>anonymous</t>
  </si>
  <si>
    <t>This is my first visit</t>
  </si>
  <si>
    <t>Coffee &amp; drinks</t>
  </si>
  <si>
    <t>Cultural events</t>
  </si>
  <si>
    <t>Yes, definitely</t>
  </si>
  <si>
    <t>Discounts on food</t>
  </si>
  <si>
    <t>Add a simple loyalty rewards system</t>
  </si>
  <si>
    <t>A few times a year</t>
  </si>
  <si>
    <t>Food</t>
  </si>
  <si>
    <t>Rooftop seating</t>
  </si>
  <si>
    <t>Maybe</t>
  </si>
  <si>
    <t>Members-only promotions</t>
  </si>
  <si>
    <t>Offer more vegetarian/vegan options.</t>
  </si>
  <si>
    <t>Once a month</t>
  </si>
  <si>
    <t>Studying/working</t>
  </si>
  <si>
    <t>Points system</t>
  </si>
  <si>
    <t>Improve Wi-Fi speed and reliability</t>
  </si>
  <si>
    <t>Once a week or more</t>
  </si>
  <si>
    <t>Meeting friends</t>
  </si>
  <si>
    <t>Coffee quality</t>
  </si>
  <si>
    <t>Free drink after several visits</t>
  </si>
  <si>
    <t>Extend opening hours in the evening</t>
  </si>
  <si>
    <t>Tourist experience</t>
  </si>
  <si>
    <t>Add more live music or cultural events</t>
  </si>
  <si>
    <t>Friendly staff</t>
  </si>
  <si>
    <t>Create student or regular customer discounts</t>
  </si>
  <si>
    <t>Speed up service during busy times</t>
  </si>
  <si>
    <t>No</t>
  </si>
  <si>
    <t>Introduce seasonal or limited-time menu items</t>
  </si>
  <si>
    <t>Add more comfortable seating areas</t>
  </si>
  <si>
    <t>Atmosphere</t>
  </si>
  <si>
    <t>Provide outdoor seating or terrace space</t>
  </si>
  <si>
    <t>Time to Complete</t>
  </si>
  <si>
    <t>Row Labels</t>
  </si>
  <si>
    <t>(blank)</t>
  </si>
  <si>
    <t>Grand Total</t>
  </si>
  <si>
    <t xml:space="preserve">Sum of How would you rate your most recent experience?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</si>
</sst>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6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NumberFormat="1"/>
    <xf numFmtId="166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166" formatCode="mm/dd/yyyy\ hh:mm:ss"/>
    </dxf>
    <dxf>
      <numFmt numFmtId="166" formatCode="mm/dd/yyyy\ hh: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166" formatCode="mm/dd/yyyy\ hh:mm:ss"/>
    </dxf>
    <dxf>
      <numFmt numFmtId="166" formatCode="mm/dd/yyyy\ hh: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mouatakid" refreshedDate="46129.392171412037" createdVersion="8" refreshedVersion="8" minRefreshableVersion="3" recordCount="2" xr:uid="{E6C87A8A-67D4-495F-B8A0-5C9E2C8632B8}">
  <cacheSource type="worksheet">
    <worksheetSource ref="L15:L17" sheet="Sheet1"/>
  </cacheSource>
  <cacheFields count="1">
    <cacheField name="0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mouatakid" refreshedDate="46129.392728240739" createdVersion="8" refreshedVersion="8" minRefreshableVersion="3" recordCount="10" xr:uid="{EF5C9350-A401-4059-BCD8-DF31E615E5C9}">
  <cacheSource type="worksheet">
    <worksheetSource name="Table1"/>
  </cacheSource>
  <cacheFields count="14">
    <cacheField name="ID" numFmtId="0">
      <sharedItems containsSemiMixedTypes="0" containsString="0" containsNumber="1" containsInteger="1" minValue="1" maxValue="10"/>
    </cacheField>
    <cacheField name="Start time" numFmtId="166">
      <sharedItems containsSemiMixedTypes="0" containsNonDate="0" containsDate="1" containsString="0" minDate="2026-04-17T08:55:19" maxDate="2026-04-17T09:02:57"/>
    </cacheField>
    <cacheField name="Completion time" numFmtId="166">
      <sharedItems containsSemiMixedTypes="0" containsNonDate="0" containsDate="1" containsString="0" minDate="2026-04-17T08:56:37" maxDate="2026-04-17T09:03:15"/>
    </cacheField>
    <cacheField name="Time to Complete" numFmtId="166">
      <sharedItems containsSemiMixedTypes="0" containsNonDate="0" containsDate="1" containsString="0" minDate="1899-12-30T00:00:17" maxDate="1899-12-30T00:01:18"/>
    </cacheField>
    <cacheField name="Email" numFmtId="166">
      <sharedItems count="1">
        <s v="anonymous"/>
      </sharedItems>
    </cacheField>
    <cacheField name="Name" numFmtId="0">
      <sharedItems containsNonDate="0" containsString="0" containsBlank="1" count="1">
        <m/>
      </sharedItems>
    </cacheField>
    <cacheField name="Last modified time" numFmtId="164">
      <sharedItems containsNonDate="0" containsString="0" containsBlank="1" count="1">
        <m/>
      </sharedItems>
    </cacheField>
    <cacheField name="How often do you visit Café Clock?" numFmtId="0">
      <sharedItems count="4">
        <s v="This is my first visit"/>
        <s v="A few times a year"/>
        <s v="Once a month"/>
        <s v="Once a week or more"/>
      </sharedItems>
    </cacheField>
    <cacheField name="What is your main reason for visiting Café Clock?_x000a_" numFmtId="0">
      <sharedItems count="5">
        <s v="Coffee &amp; drinks"/>
        <s v="Food"/>
        <s v="Studying/working"/>
        <s v="Meeting friends"/>
        <s v="Tourist experience"/>
      </sharedItems>
    </cacheField>
    <cacheField name="How would you rate your most recent experience?_x000a_" numFmtId="0">
      <sharedItems containsSemiMixedTypes="0" containsString="0" containsNumber="1" containsInteger="1" minValue="2" maxValue="5"/>
    </cacheField>
    <cacheField name="What do you enjoy most about Café Clock?_x000a_" numFmtId="0">
      <sharedItems count="5">
        <s v="Cultural events"/>
        <s v="Rooftop seating"/>
        <s v="Coffee quality"/>
        <s v="Friendly staff"/>
        <s v="Atmosphere"/>
      </sharedItems>
    </cacheField>
    <cacheField name="Would you join a free Café Clock rewards program?_x000a_" numFmtId="0">
      <sharedItems count="3">
        <s v="Yes, definitely"/>
        <s v="Maybe"/>
        <s v="No"/>
      </sharedItems>
    </cacheField>
    <cacheField name="What kind of rewards would motivate you to visit more often?_x000a__x000a_" numFmtId="0">
      <sharedItems count="4">
        <s v="Discounts on food"/>
        <s v="Members-only promotions"/>
        <s v="Points system"/>
        <s v="Free drink after several visits"/>
      </sharedItems>
    </cacheField>
    <cacheField name="What is one thing we could improve or add to make your experience even better?_x000a_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0"/>
  </r>
  <r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d v="2026-04-17T08:55:19"/>
    <d v="2026-04-17T08:56:37"/>
    <d v="1899-12-30T00:01:18"/>
    <x v="0"/>
    <x v="0"/>
    <x v="0"/>
    <x v="0"/>
    <x v="0"/>
    <n v="5"/>
    <x v="0"/>
    <x v="0"/>
    <x v="0"/>
    <s v="Add a simple loyalty rewards system"/>
  </r>
  <r>
    <n v="2"/>
    <d v="2026-04-17T08:56:43"/>
    <d v="2026-04-17T08:57:02"/>
    <d v="1899-12-30T00:00:19"/>
    <x v="0"/>
    <x v="0"/>
    <x v="0"/>
    <x v="1"/>
    <x v="1"/>
    <n v="4"/>
    <x v="1"/>
    <x v="1"/>
    <x v="1"/>
    <s v="Offer more vegetarian/vegan options."/>
  </r>
  <r>
    <n v="3"/>
    <d v="2026-04-17T08:59:11"/>
    <d v="2026-04-17T08:59:34"/>
    <d v="1899-12-30T00:00:23"/>
    <x v="0"/>
    <x v="0"/>
    <x v="0"/>
    <x v="2"/>
    <x v="2"/>
    <n v="5"/>
    <x v="1"/>
    <x v="0"/>
    <x v="2"/>
    <s v="Improve Wi-Fi speed and reliability"/>
  </r>
  <r>
    <n v="4"/>
    <d v="2026-04-17T08:59:37"/>
    <d v="2026-04-17T09:00:08"/>
    <d v="1899-12-30T00:00:31"/>
    <x v="0"/>
    <x v="0"/>
    <x v="0"/>
    <x v="3"/>
    <x v="3"/>
    <n v="5"/>
    <x v="2"/>
    <x v="0"/>
    <x v="3"/>
    <s v="Extend opening hours in the evening"/>
  </r>
  <r>
    <n v="5"/>
    <d v="2026-04-17T09:00:11"/>
    <d v="2026-04-17T09:00:39"/>
    <d v="1899-12-30T00:00:28"/>
    <x v="0"/>
    <x v="0"/>
    <x v="0"/>
    <x v="3"/>
    <x v="4"/>
    <n v="5"/>
    <x v="1"/>
    <x v="1"/>
    <x v="0"/>
    <s v="Add more live music or cultural events"/>
  </r>
  <r>
    <n v="6"/>
    <d v="2026-04-17T09:00:42"/>
    <d v="2026-04-17T09:01:08"/>
    <d v="1899-12-30T00:00:26"/>
    <x v="0"/>
    <x v="0"/>
    <x v="0"/>
    <x v="2"/>
    <x v="2"/>
    <n v="4"/>
    <x v="3"/>
    <x v="1"/>
    <x v="0"/>
    <s v="Create student or regular customer discounts"/>
  </r>
  <r>
    <n v="7"/>
    <d v="2026-04-17T09:01:18"/>
    <d v="2026-04-17T09:01:35"/>
    <d v="1899-12-30T00:00:17"/>
    <x v="0"/>
    <x v="0"/>
    <x v="0"/>
    <x v="0"/>
    <x v="0"/>
    <n v="3"/>
    <x v="2"/>
    <x v="1"/>
    <x v="1"/>
    <s v="Speed up service during busy times"/>
  </r>
  <r>
    <n v="8"/>
    <d v="2026-04-17T09:01:45"/>
    <d v="2026-04-17T09:02:11"/>
    <d v="1899-12-30T00:00:26"/>
    <x v="0"/>
    <x v="0"/>
    <x v="0"/>
    <x v="0"/>
    <x v="4"/>
    <n v="4"/>
    <x v="2"/>
    <x v="2"/>
    <x v="0"/>
    <s v="Introduce seasonal or limited-time menu items"/>
  </r>
  <r>
    <n v="9"/>
    <d v="2026-04-17T09:02:26"/>
    <d v="2026-04-17T09:02:50"/>
    <d v="1899-12-30T00:00:24"/>
    <x v="0"/>
    <x v="0"/>
    <x v="0"/>
    <x v="3"/>
    <x v="3"/>
    <n v="2"/>
    <x v="3"/>
    <x v="1"/>
    <x v="2"/>
    <s v="Add more comfortable seating areas"/>
  </r>
  <r>
    <n v="10"/>
    <d v="2026-04-17T09:02:57"/>
    <d v="2026-04-17T09:03:15"/>
    <d v="1899-12-30T00:00:18"/>
    <x v="0"/>
    <x v="0"/>
    <x v="0"/>
    <x v="2"/>
    <x v="3"/>
    <n v="4"/>
    <x v="4"/>
    <x v="0"/>
    <x v="3"/>
    <s v="Provide outdoor seating or terrace spa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9F29B-6B49-40D2-AEAC-7070B656242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FA455-35AB-46B8-AF3D-D6F6CF316541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4">
    <pivotField showAll="0"/>
    <pivotField numFmtId="166" showAll="0"/>
    <pivotField numFmtId="166" showAll="0"/>
    <pivotField numFmtId="166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</pivotFields>
  <rowFields count="1">
    <field x="6"/>
  </rowFields>
  <rowItems count="2">
    <i>
      <x/>
    </i>
    <i t="grand">
      <x/>
    </i>
  </rowItems>
  <colItems count="1">
    <i/>
  </colItems>
  <dataFields count="1">
    <dataField name="Sum of How would you rate your most recent experience?_x000a_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2" totalsRowCount="1">
  <autoFilter ref="A1:N11" xr:uid="{00000000-0009-0000-0100-000001000000}"/>
  <tableColumns count="14">
    <tableColumn id="1" xr3:uid="{00000000-0010-0000-0000-000001000000}" name="ID" dataDxfId="26" totalsRowDxfId="12"/>
    <tableColumn id="2" xr3:uid="{00000000-0010-0000-0000-000002000000}" name="Start time" dataDxfId="16" totalsRowDxfId="11"/>
    <tableColumn id="3" xr3:uid="{00000000-0010-0000-0000-000003000000}" name="Completion time" dataDxfId="15" totalsRowDxfId="10"/>
    <tableColumn id="14" xr3:uid="{ECA4B23D-F7A5-47B8-A9D4-2E425D629465}" name="Time to Complete" totalsRowFunction="custom" dataDxfId="13" totalsRowDxfId="9">
      <calculatedColumnFormula>C2-B2</calculatedColumnFormula>
      <totalsRowFormula>AVERAGE(Table1[Time to Complete])</totalsRowFormula>
    </tableColumn>
    <tableColumn id="4" xr3:uid="{00000000-0010-0000-0000-000004000000}" name="Email" dataDxfId="14" totalsRowDxfId="8"/>
    <tableColumn id="5" xr3:uid="{00000000-0010-0000-0000-000005000000}" name="Name" dataDxfId="25" totalsRowDxfId="7"/>
    <tableColumn id="6" xr3:uid="{00000000-0010-0000-0000-000006000000}" name="Last modified time" dataDxfId="24" totalsRowDxfId="6"/>
    <tableColumn id="7" xr3:uid="{00000000-0010-0000-0000-000007000000}" name="How often do you visit Café Clock?" dataDxfId="23" totalsRowDxfId="5"/>
    <tableColumn id="8" xr3:uid="{00000000-0010-0000-0000-000008000000}" name="What is your main reason for visiting Café Clock?_x000a_" dataDxfId="22" totalsRowDxfId="4"/>
    <tableColumn id="9" xr3:uid="{00000000-0010-0000-0000-000009000000}" name="How would you rate your most recent experience?_x000a_" dataDxfId="21" totalsRowDxfId="3"/>
    <tableColumn id="10" xr3:uid="{00000000-0010-0000-0000-00000A000000}" name="What do you enjoy most about Café Clock?_x000a_" dataDxfId="20" totalsRowDxfId="2"/>
    <tableColumn id="11" xr3:uid="{00000000-0010-0000-0000-00000B000000}" name="Would you join a free Café Clock rewards program?_x000a_" totalsRowFunction="custom" dataDxfId="19">
      <totalsRowFormula>COUNTIF(L:L,"*No*")</totalsRowFormula>
    </tableColumn>
    <tableColumn id="12" xr3:uid="{00000000-0010-0000-0000-00000C000000}" name="What kind of rewards would motivate you to visit more often?_x000a__x000a_" dataDxfId="18" totalsRowDxfId="1"/>
    <tableColumn id="13" xr3:uid="{00000000-0010-0000-0000-00000D000000}" name="What is one thing we could improve or add to make your experience even better?_x000a_" dataDxfId="17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F26B-B57C-4C3B-A9C3-F51E155EE992}">
  <dimension ref="A3:C20"/>
  <sheetViews>
    <sheetView workbookViewId="0">
      <selection activeCell="A3" sqref="A3"/>
    </sheetView>
  </sheetViews>
  <sheetFormatPr defaultRowHeight="14.4" x14ac:dyDescent="0.3"/>
  <cols>
    <col min="1" max="1" width="8.44140625" bestFit="1" customWidth="1"/>
  </cols>
  <sheetData>
    <row r="3" spans="1:3" x14ac:dyDescent="0.3">
      <c r="A3" s="4"/>
      <c r="B3" s="5"/>
      <c r="C3" s="6"/>
    </row>
    <row r="4" spans="1:3" x14ac:dyDescent="0.3">
      <c r="A4" s="7"/>
      <c r="B4" s="8"/>
      <c r="C4" s="9"/>
    </row>
    <row r="5" spans="1:3" x14ac:dyDescent="0.3">
      <c r="A5" s="7"/>
      <c r="B5" s="8"/>
      <c r="C5" s="9"/>
    </row>
    <row r="6" spans="1:3" x14ac:dyDescent="0.3">
      <c r="A6" s="7"/>
      <c r="B6" s="8"/>
      <c r="C6" s="9"/>
    </row>
    <row r="7" spans="1:3" x14ac:dyDescent="0.3">
      <c r="A7" s="7"/>
      <c r="B7" s="8"/>
      <c r="C7" s="9"/>
    </row>
    <row r="8" spans="1:3" x14ac:dyDescent="0.3">
      <c r="A8" s="7"/>
      <c r="B8" s="8"/>
      <c r="C8" s="9"/>
    </row>
    <row r="9" spans="1:3" x14ac:dyDescent="0.3">
      <c r="A9" s="7"/>
      <c r="B9" s="8"/>
      <c r="C9" s="9"/>
    </row>
    <row r="10" spans="1:3" x14ac:dyDescent="0.3">
      <c r="A10" s="7"/>
      <c r="B10" s="8"/>
      <c r="C10" s="9"/>
    </row>
    <row r="11" spans="1:3" x14ac:dyDescent="0.3">
      <c r="A11" s="7"/>
      <c r="B11" s="8"/>
      <c r="C11" s="9"/>
    </row>
    <row r="12" spans="1:3" x14ac:dyDescent="0.3">
      <c r="A12" s="7"/>
      <c r="B12" s="8"/>
      <c r="C12" s="9"/>
    </row>
    <row r="13" spans="1:3" x14ac:dyDescent="0.3">
      <c r="A13" s="7"/>
      <c r="B13" s="8"/>
      <c r="C13" s="9"/>
    </row>
    <row r="14" spans="1:3" x14ac:dyDescent="0.3">
      <c r="A14" s="7"/>
      <c r="B14" s="8"/>
      <c r="C14" s="9"/>
    </row>
    <row r="15" spans="1:3" x14ac:dyDescent="0.3">
      <c r="A15" s="7"/>
      <c r="B15" s="8"/>
      <c r="C15" s="9"/>
    </row>
    <row r="16" spans="1:3" x14ac:dyDescent="0.3">
      <c r="A16" s="7"/>
      <c r="B16" s="8"/>
      <c r="C16" s="9"/>
    </row>
    <row r="17" spans="1:3" x14ac:dyDescent="0.3">
      <c r="A17" s="7"/>
      <c r="B17" s="8"/>
      <c r="C17" s="9"/>
    </row>
    <row r="18" spans="1:3" x14ac:dyDescent="0.3">
      <c r="A18" s="7"/>
      <c r="B18" s="8"/>
      <c r="C18" s="9"/>
    </row>
    <row r="19" spans="1:3" x14ac:dyDescent="0.3">
      <c r="A19" s="7"/>
      <c r="B19" s="8"/>
      <c r="C19" s="9"/>
    </row>
    <row r="20" spans="1:3" x14ac:dyDescent="0.3">
      <c r="A20" s="10"/>
      <c r="B20" s="11"/>
      <c r="C2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E297-B1F8-4390-AC0A-B1C701DC85AF}">
  <dimension ref="A3:B5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51.6640625" bestFit="1" customWidth="1"/>
  </cols>
  <sheetData>
    <row r="3" spans="1:2" x14ac:dyDescent="0.3">
      <c r="A3" s="13" t="s">
        <v>46</v>
      </c>
      <c r="B3" t="s">
        <v>49</v>
      </c>
    </row>
    <row r="4" spans="1:2" x14ac:dyDescent="0.3">
      <c r="A4" s="14" t="s">
        <v>47</v>
      </c>
      <c r="B4" s="2">
        <v>41</v>
      </c>
    </row>
    <row r="5" spans="1:2" x14ac:dyDescent="0.3">
      <c r="A5" s="14" t="s">
        <v>48</v>
      </c>
      <c r="B5" s="2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workbookViewId="0">
      <selection activeCell="N1" sqref="A1:N11"/>
    </sheetView>
  </sheetViews>
  <sheetFormatPr defaultRowHeight="14.4" x14ac:dyDescent="0.3"/>
  <cols>
    <col min="1" max="1" width="20" bestFit="1" customWidth="1"/>
    <col min="2" max="3" width="20" style="3" bestFit="1" customWidth="1"/>
    <col min="4" max="4" width="20" style="3" customWidth="1"/>
    <col min="5" max="5" width="20" style="3" bestFit="1" customWidth="1"/>
    <col min="6" max="14" width="20" bestFit="1" customWidth="1"/>
  </cols>
  <sheetData>
    <row r="1" spans="1:14" x14ac:dyDescent="0.3">
      <c r="A1" t="s">
        <v>0</v>
      </c>
      <c r="B1" s="3" t="s">
        <v>1</v>
      </c>
      <c r="C1" s="3" t="s">
        <v>2</v>
      </c>
      <c r="D1" s="3" t="s">
        <v>45</v>
      </c>
      <c r="E1" s="3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s="3">
        <v>46129.371747685203</v>
      </c>
      <c r="C2" s="3">
        <v>46129.372650463003</v>
      </c>
      <c r="D2" s="3">
        <f t="shared" ref="D2:D11" si="0">C2-B2</f>
        <v>9.0277779963798821E-4</v>
      </c>
      <c r="E2" s="3" t="s">
        <v>13</v>
      </c>
      <c r="G2" s="1"/>
      <c r="H2" t="s">
        <v>14</v>
      </c>
      <c r="I2" t="s">
        <v>15</v>
      </c>
      <c r="J2">
        <v>5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3">
      <c r="A3">
        <v>2</v>
      </c>
      <c r="B3" s="3">
        <v>46129.372719907398</v>
      </c>
      <c r="C3" s="3">
        <v>46129.372939814799</v>
      </c>
      <c r="D3" s="3">
        <f t="shared" si="0"/>
        <v>2.1990740060573444E-4</v>
      </c>
      <c r="E3" s="3" t="s">
        <v>13</v>
      </c>
      <c r="G3" s="1"/>
      <c r="H3" t="s">
        <v>20</v>
      </c>
      <c r="I3" t="s">
        <v>21</v>
      </c>
      <c r="J3">
        <v>4</v>
      </c>
      <c r="K3" t="s">
        <v>22</v>
      </c>
      <c r="L3" t="s">
        <v>23</v>
      </c>
      <c r="M3" t="s">
        <v>24</v>
      </c>
      <c r="N3" t="s">
        <v>25</v>
      </c>
    </row>
    <row r="4" spans="1:14" x14ac:dyDescent="0.3">
      <c r="A4">
        <v>3</v>
      </c>
      <c r="B4" s="3">
        <v>46129.374432870398</v>
      </c>
      <c r="C4" s="3">
        <v>46129.374699074098</v>
      </c>
      <c r="D4" s="3">
        <f t="shared" si="0"/>
        <v>2.6620370044838637E-4</v>
      </c>
      <c r="E4" s="3" t="s">
        <v>13</v>
      </c>
      <c r="G4" s="1"/>
      <c r="H4" t="s">
        <v>26</v>
      </c>
      <c r="I4" t="s">
        <v>27</v>
      </c>
      <c r="J4">
        <v>5</v>
      </c>
      <c r="K4" t="s">
        <v>22</v>
      </c>
      <c r="L4" t="s">
        <v>17</v>
      </c>
      <c r="M4" t="s">
        <v>28</v>
      </c>
      <c r="N4" t="s">
        <v>29</v>
      </c>
    </row>
    <row r="5" spans="1:14" x14ac:dyDescent="0.3">
      <c r="A5">
        <v>4</v>
      </c>
      <c r="B5" s="3">
        <v>46129.3747337963</v>
      </c>
      <c r="C5" s="3">
        <v>46129.3750925926</v>
      </c>
      <c r="D5" s="3">
        <f t="shared" si="0"/>
        <v>3.5879630013369024E-4</v>
      </c>
      <c r="E5" s="3" t="s">
        <v>13</v>
      </c>
      <c r="G5" s="1"/>
      <c r="H5" t="s">
        <v>30</v>
      </c>
      <c r="I5" t="s">
        <v>31</v>
      </c>
      <c r="J5">
        <v>5</v>
      </c>
      <c r="K5" t="s">
        <v>32</v>
      </c>
      <c r="L5" t="s">
        <v>17</v>
      </c>
      <c r="M5" t="s">
        <v>33</v>
      </c>
      <c r="N5" t="s">
        <v>34</v>
      </c>
    </row>
    <row r="6" spans="1:14" x14ac:dyDescent="0.3">
      <c r="A6">
        <v>5</v>
      </c>
      <c r="B6" s="3">
        <v>46129.375127314801</v>
      </c>
      <c r="C6" s="3">
        <v>46129.3754513889</v>
      </c>
      <c r="D6" s="3">
        <f t="shared" si="0"/>
        <v>3.2407409889856353E-4</v>
      </c>
      <c r="E6" s="3" t="s">
        <v>13</v>
      </c>
      <c r="G6" s="1"/>
      <c r="H6" t="s">
        <v>30</v>
      </c>
      <c r="I6" t="s">
        <v>35</v>
      </c>
      <c r="J6">
        <v>5</v>
      </c>
      <c r="K6" t="s">
        <v>22</v>
      </c>
      <c r="L6" t="s">
        <v>23</v>
      </c>
      <c r="M6" t="s">
        <v>18</v>
      </c>
      <c r="N6" t="s">
        <v>36</v>
      </c>
    </row>
    <row r="7" spans="1:14" x14ac:dyDescent="0.3">
      <c r="A7">
        <v>6</v>
      </c>
      <c r="B7" s="3">
        <v>46129.375486111101</v>
      </c>
      <c r="C7" s="3">
        <v>46129.375787037003</v>
      </c>
      <c r="D7" s="3">
        <f t="shared" si="0"/>
        <v>3.0092590168351308E-4</v>
      </c>
      <c r="E7" s="3" t="s">
        <v>13</v>
      </c>
      <c r="G7" s="1"/>
      <c r="H7" t="s">
        <v>26</v>
      </c>
      <c r="I7" t="s">
        <v>27</v>
      </c>
      <c r="J7">
        <v>4</v>
      </c>
      <c r="K7" t="s">
        <v>37</v>
      </c>
      <c r="L7" t="s">
        <v>23</v>
      </c>
      <c r="M7" t="s">
        <v>18</v>
      </c>
      <c r="N7" t="s">
        <v>38</v>
      </c>
    </row>
    <row r="8" spans="1:14" x14ac:dyDescent="0.3">
      <c r="A8">
        <v>7</v>
      </c>
      <c r="B8" s="3">
        <v>46129.3759027778</v>
      </c>
      <c r="C8" s="3">
        <v>46129.376099537003</v>
      </c>
      <c r="D8" s="3">
        <f t="shared" si="0"/>
        <v>1.9675920339068398E-4</v>
      </c>
      <c r="E8" s="3" t="s">
        <v>13</v>
      </c>
      <c r="G8" s="1"/>
      <c r="H8" t="s">
        <v>14</v>
      </c>
      <c r="I8" t="s">
        <v>15</v>
      </c>
      <c r="J8">
        <v>3</v>
      </c>
      <c r="K8" t="s">
        <v>32</v>
      </c>
      <c r="L8" t="s">
        <v>23</v>
      </c>
      <c r="M8" t="s">
        <v>24</v>
      </c>
      <c r="N8" t="s">
        <v>39</v>
      </c>
    </row>
    <row r="9" spans="1:14" x14ac:dyDescent="0.3">
      <c r="A9">
        <v>8</v>
      </c>
      <c r="B9" s="3">
        <v>46129.3762152778</v>
      </c>
      <c r="C9" s="3">
        <v>46129.376516203702</v>
      </c>
      <c r="D9" s="3">
        <f t="shared" si="0"/>
        <v>3.0092590168351308E-4</v>
      </c>
      <c r="E9" s="3" t="s">
        <v>13</v>
      </c>
      <c r="G9" s="1"/>
      <c r="H9" t="s">
        <v>14</v>
      </c>
      <c r="I9" t="s">
        <v>35</v>
      </c>
      <c r="J9">
        <v>4</v>
      </c>
      <c r="K9" t="s">
        <v>32</v>
      </c>
      <c r="L9" t="s">
        <v>40</v>
      </c>
      <c r="M9" t="s">
        <v>18</v>
      </c>
      <c r="N9" t="s">
        <v>41</v>
      </c>
    </row>
    <row r="10" spans="1:14" x14ac:dyDescent="0.3">
      <c r="A10">
        <v>9</v>
      </c>
      <c r="B10" s="3">
        <v>46129.376689814802</v>
      </c>
      <c r="C10" s="3">
        <v>46129.376967592601</v>
      </c>
      <c r="D10" s="3">
        <f t="shared" si="0"/>
        <v>2.777777990559116E-4</v>
      </c>
      <c r="E10" s="3" t="s">
        <v>13</v>
      </c>
      <c r="G10" s="1"/>
      <c r="H10" t="s">
        <v>30</v>
      </c>
      <c r="I10" t="s">
        <v>31</v>
      </c>
      <c r="J10">
        <v>2</v>
      </c>
      <c r="K10" t="s">
        <v>37</v>
      </c>
      <c r="L10" t="s">
        <v>23</v>
      </c>
      <c r="M10" t="s">
        <v>28</v>
      </c>
      <c r="N10" t="s">
        <v>42</v>
      </c>
    </row>
    <row r="11" spans="1:14" x14ac:dyDescent="0.3">
      <c r="A11">
        <v>10</v>
      </c>
      <c r="B11" s="3">
        <v>46129.377048611103</v>
      </c>
      <c r="C11" s="3">
        <v>46129.377256944397</v>
      </c>
      <c r="D11" s="3">
        <f t="shared" si="0"/>
        <v>2.0833329472225159E-4</v>
      </c>
      <c r="E11" s="3" t="s">
        <v>13</v>
      </c>
      <c r="G11" s="1"/>
      <c r="H11" t="s">
        <v>26</v>
      </c>
      <c r="I11" t="s">
        <v>31</v>
      </c>
      <c r="J11">
        <v>4</v>
      </c>
      <c r="K11" t="s">
        <v>43</v>
      </c>
      <c r="L11" t="s">
        <v>17</v>
      </c>
      <c r="M11" t="s">
        <v>33</v>
      </c>
      <c r="N11" t="s">
        <v>44</v>
      </c>
    </row>
    <row r="12" spans="1:14" x14ac:dyDescent="0.3">
      <c r="A12" s="2"/>
      <c r="D12" s="3">
        <f>AVERAGE(Table1[Time to Complete])</f>
        <v>3.3564814002602362E-4</v>
      </c>
      <c r="F12" s="2"/>
      <c r="G12" s="1"/>
      <c r="H12" s="2"/>
      <c r="I12" s="2"/>
      <c r="J12" s="2"/>
      <c r="K12" s="2"/>
      <c r="L12">
        <f ca="1">COUNTIF(L:L,"*No*")</f>
        <v>0</v>
      </c>
      <c r="M12" s="2"/>
      <c r="N12" s="2"/>
    </row>
    <row r="15" spans="1:14" x14ac:dyDescent="0.3">
      <c r="L15">
        <f ca="1">COUNTIF(L:L,"Maybe")</f>
        <v>0</v>
      </c>
    </row>
    <row r="16" spans="1:14" x14ac:dyDescent="0.3">
      <c r="L16">
        <f ca="1">COUNTIF(L:L,"Maybe")</f>
        <v>0</v>
      </c>
    </row>
    <row r="17" spans="12:12" x14ac:dyDescent="0.3">
      <c r="L17">
        <f>COUNTIF(A:A,"*Maybe*")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mouatakid</dc:creator>
  <cp:lastModifiedBy>mohamed mouatakid</cp:lastModifiedBy>
  <dcterms:created xsi:type="dcterms:W3CDTF">2026-04-17T13:04:06Z</dcterms:created>
  <dcterms:modified xsi:type="dcterms:W3CDTF">2026-04-17T13:28:14Z</dcterms:modified>
</cp:coreProperties>
</file>